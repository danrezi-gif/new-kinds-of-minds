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Georgia"/>
      <b val="1"/>
      <color rgb="00211E26"/>
      <sz val="16"/>
    </font>
    <font>
      <name val="Arial"/>
      <color rgb="006E7383"/>
      <sz val="10"/>
    </font>
    <font>
      <name val="Arial"/>
      <b val="1"/>
      <color rgb="00F7F4ED"/>
    </font>
    <font>
      <name val="Arial"/>
      <color rgb="00211E26"/>
      <sz val="10"/>
    </font>
    <font>
      <name val="Arial"/>
      <b val="1"/>
      <color rgb="00211E26"/>
    </font>
    <font>
      <name val="Arial"/>
      <sz val="10"/>
    </font>
    <font>
      <name val="Arial"/>
      <i val="1"/>
      <sz val="10"/>
    </font>
    <font>
      <name val="Arial"/>
      <b val="1"/>
      <color rgb="00211E26"/>
      <sz val="9"/>
    </font>
    <font>
      <name val="Arial"/>
      <color rgb="006E7383"/>
      <sz val="9"/>
    </font>
  </fonts>
  <fills count="3">
    <fill>
      <patternFill/>
    </fill>
    <fill>
      <patternFill patternType="gray125"/>
    </fill>
    <fill>
      <patternFill patternType="solid">
        <fgColor rgb="00211E26"/>
      </patternFill>
    </fill>
  </fills>
  <borders count="2">
    <border>
      <left/>
      <right/>
      <top/>
      <bottom/>
      <diagonal/>
    </border>
    <border>
      <top style="thin">
        <color rgb="00A8821F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3" fontId="4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8" customWidth="1" min="4" max="4"/>
    <col width="14" customWidth="1" min="5" max="5"/>
    <col width="14" customWidth="1" min="6" max="6"/>
  </cols>
  <sheetData>
    <row r="1">
      <c r="A1" s="1" t="inlineStr">
        <is>
          <t>New Kinds of Minds: A Global Atlas of Neurodiversity</t>
        </is>
      </c>
    </row>
    <row r="2">
      <c r="A2" s="2" t="inlineStr">
        <is>
          <t>Phase I: Mapping Latin American Neurodiversity. Budget, January to December 2027, in US dollars.</t>
        </is>
      </c>
    </row>
    <row r="3">
      <c r="A3" s="2" t="inlineStr">
        <is>
          <t>Fundación Ama Amoedo Grants 2026, Art and Social Engagement. Applicant: Daniel Rezinovsky.</t>
        </is>
      </c>
    </row>
    <row r="5">
      <c r="A5" s="3" t="inlineStr">
        <is>
          <t>Category</t>
        </is>
      </c>
      <c r="B5" s="3" t="inlineStr">
        <is>
          <t>Line item</t>
        </is>
      </c>
      <c r="C5" s="3" t="inlineStr">
        <is>
          <t>Description</t>
        </is>
      </c>
      <c r="D5" s="3" t="inlineStr">
        <is>
          <t>Units</t>
        </is>
      </c>
      <c r="E5" s="3" t="inlineStr">
        <is>
          <t>Unit cost (US$)</t>
        </is>
      </c>
      <c r="F5" s="3" t="inlineStr">
        <is>
          <t>Total (US$)</t>
        </is>
      </c>
    </row>
    <row r="6">
      <c r="A6" s="4" t="inlineStr">
        <is>
          <t>Research and mapping</t>
        </is>
      </c>
      <c r="B6" s="4" t="inlineStr">
        <is>
          <t>Regional mapping contributors</t>
        </is>
      </c>
      <c r="C6" s="4" t="inlineStr">
        <is>
          <t>Two contributors (Brazil; Spanish-speaking Latin America), ~6 months part-time research and verification each</t>
        </is>
      </c>
      <c r="D6" s="4" t="n">
        <v>2</v>
      </c>
      <c r="E6" s="5" t="n">
        <v>1300</v>
      </c>
      <c r="F6" s="5">
        <f>D6*E6</f>
        <v/>
      </c>
    </row>
    <row r="7">
      <c r="A7" s="4" t="inlineStr">
        <is>
          <t>Community participation</t>
        </is>
      </c>
      <c r="B7" s="4" t="inlineStr">
        <is>
          <t>Advisory circle honoraria</t>
        </is>
      </c>
      <c r="C7" s="4" t="inlineStr">
        <is>
          <t>Six neurodivergent advisors from mapped initiatives, two taxonomy sessions plus consultation</t>
        </is>
      </c>
      <c r="D7" s="4" t="n">
        <v>6</v>
      </c>
      <c r="E7" s="5" t="n">
        <v>200</v>
      </c>
      <c r="F7" s="5">
        <f>D7*E7</f>
        <v/>
      </c>
    </row>
    <row r="8">
      <c r="A8" s="4" t="inlineStr">
        <is>
          <t>Community participation</t>
        </is>
      </c>
      <c r="B8" s="4" t="inlineStr">
        <is>
          <t>Participant-written descriptions and testimonies</t>
        </is>
      </c>
      <c r="C8" s="4" t="inlineStr">
        <is>
          <t>Fees for initiatives writing their own entries and short testimonies (approx. 25 at US$20)</t>
        </is>
      </c>
      <c r="D8" s="4" t="n">
        <v>1</v>
      </c>
      <c r="E8" s="5" t="n">
        <v>500</v>
      </c>
      <c r="F8" s="5">
        <f>D8*E8</f>
        <v/>
      </c>
    </row>
    <row r="9">
      <c r="A9" s="4" t="inlineStr">
        <is>
          <t>Artistic development</t>
        </is>
      </c>
      <c r="B9" s="4" t="inlineStr">
        <is>
          <t>Interface and visualization development</t>
        </is>
      </c>
      <c r="C9" s="4" t="inlineStr">
        <is>
          <t>Trilingual interface, network field, visual system extension</t>
        </is>
      </c>
      <c r="D9" s="4" t="n">
        <v>1</v>
      </c>
      <c r="E9" s="5" t="n">
        <v>1000</v>
      </c>
      <c r="F9" s="5">
        <f>D9*E9</f>
        <v/>
      </c>
    </row>
    <row r="10">
      <c r="A10" s="4" t="inlineStr">
        <is>
          <t>Artistic development</t>
        </is>
      </c>
      <c r="B10" s="4" t="inlineStr">
        <is>
          <t>Data-visual essays</t>
        </is>
      </c>
      <c r="C10" s="4" t="inlineStr">
        <is>
          <t>Two commissioned essays on patterns in the Latin American mapping (US$350 each)</t>
        </is>
      </c>
      <c r="D10" s="4" t="n">
        <v>2</v>
      </c>
      <c r="E10" s="5" t="n">
        <v>350</v>
      </c>
      <c r="F10" s="5">
        <f>D10*E10</f>
        <v/>
      </c>
    </row>
    <row r="11">
      <c r="A11" s="4" t="inlineStr">
        <is>
          <t>Accessibility</t>
        </is>
      </c>
      <c r="B11" s="4" t="inlineStr">
        <is>
          <t>Accessibility review</t>
        </is>
      </c>
      <c r="C11" s="4" t="inlineStr">
        <is>
          <t>Review by a neurodivergent-led accessibility consultancy (keyboard, screen reader, cognitive load, motion, plain language)</t>
        </is>
      </c>
      <c r="D11" s="4" t="n">
        <v>1</v>
      </c>
      <c r="E11" s="5" t="n">
        <v>700</v>
      </c>
      <c r="F11" s="5">
        <f>D11*E11</f>
        <v/>
      </c>
    </row>
    <row r="12">
      <c r="A12" s="4" t="inlineStr">
        <is>
          <t>Accessibility</t>
        </is>
      </c>
      <c r="B12" s="4" t="inlineStr">
        <is>
          <t>Accessibility implementation</t>
        </is>
      </c>
      <c r="C12" s="4" t="inlineStr">
        <is>
          <t>Implementing review findings across map, index, entry and contribution flows</t>
        </is>
      </c>
      <c r="D12" s="4" t="n">
        <v>1</v>
      </c>
      <c r="E12" s="5" t="n">
        <v>400</v>
      </c>
      <c r="F12" s="5">
        <f>D12*E12</f>
        <v/>
      </c>
    </row>
    <row r="13">
      <c r="A13" s="4" t="inlineStr">
        <is>
          <t>Translation</t>
        </is>
      </c>
      <c r="B13" s="4" t="inlineStr">
        <is>
          <t>Translation and localization</t>
        </is>
      </c>
      <c r="C13" s="4" t="inlineStr">
        <is>
          <t>Interface strings and 300+ summaries in Portuguese, Spanish and English</t>
        </is>
      </c>
      <c r="D13" s="4" t="n">
        <v>1</v>
      </c>
      <c r="E13" s="5" t="n">
        <v>900</v>
      </c>
      <c r="F13" s="5">
        <f>D13*E13</f>
        <v/>
      </c>
    </row>
    <row r="14">
      <c r="A14" s="4" t="inlineStr">
        <is>
          <t>Public programming</t>
        </is>
      </c>
      <c r="B14" s="4" t="inlineStr">
        <is>
          <t>Online gatherings</t>
        </is>
      </c>
      <c r="C14" s="4" t="inlineStr">
        <is>
          <t>Three gatherings among mapped initiatives: facilitation, live captioning, interpretation</t>
        </is>
      </c>
      <c r="D14" s="4" t="n">
        <v>3</v>
      </c>
      <c r="E14" s="5" t="n">
        <v>200</v>
      </c>
      <c r="F14" s="5">
        <f>D14*E14</f>
        <v/>
      </c>
    </row>
    <row r="15">
      <c r="A15" s="4" t="inlineStr">
        <is>
          <t>Public programming</t>
        </is>
      </c>
      <c r="B15" s="4" t="inlineStr">
        <is>
          <t>Launch program</t>
        </is>
      </c>
      <c r="C15" s="4" t="inlineStr">
        <is>
          <t>Public online launch of dataset 1.0 with invited initiatives</t>
        </is>
      </c>
      <c r="D15" s="4" t="n">
        <v>1</v>
      </c>
      <c r="E15" s="5" t="n">
        <v>200</v>
      </c>
      <c r="F15" s="5">
        <f>D15*E15</f>
        <v/>
      </c>
    </row>
    <row r="16">
      <c r="A16" s="4" t="inlineStr">
        <is>
          <t>Technology</t>
        </is>
      </c>
      <c r="B16" s="4" t="inlineStr">
        <is>
          <t>Domain, hosting, database and API</t>
        </is>
      </c>
      <c r="C16" s="4" t="inlineStr">
        <is>
          <t>Twelve months of infrastructure, geocoding and backups</t>
        </is>
      </c>
      <c r="D16" s="4" t="n">
        <v>1</v>
      </c>
      <c r="E16" s="5" t="n">
        <v>500</v>
      </c>
      <c r="F16" s="5">
        <f>D16*E16</f>
        <v/>
      </c>
    </row>
    <row r="17">
      <c r="A17" s="4" t="inlineStr">
        <is>
          <t>Documentation</t>
        </is>
      </c>
      <c r="B17" s="4" t="inlineStr">
        <is>
          <t>Documentation and communication</t>
        </is>
      </c>
      <c r="C17" s="4" t="inlineStr">
        <is>
          <t>Short video, screenshots, printed dossier, outreach to initiatives and research groups</t>
        </is>
      </c>
      <c r="D17" s="4" t="n">
        <v>1</v>
      </c>
      <c r="E17" s="5" t="n">
        <v>500</v>
      </c>
      <c r="F17" s="5">
        <f>D17*E17</f>
        <v/>
      </c>
    </row>
    <row r="18">
      <c r="A18" s="4" t="inlineStr">
        <is>
          <t>Contingency</t>
        </is>
      </c>
      <c r="B18" s="4" t="inlineStr">
        <is>
          <t>Bank transfer and currency costs</t>
        </is>
      </c>
      <c r="C18" s="4" t="inlineStr">
        <is>
          <t>Transfer fees and conversion on the award and on payments to collaborators</t>
        </is>
      </c>
      <c r="D18" s="4" t="n">
        <v>1</v>
      </c>
      <c r="E18" s="5" t="n">
        <v>200</v>
      </c>
      <c r="F18" s="5">
        <f>D18*E18</f>
        <v/>
      </c>
    </row>
    <row r="19">
      <c r="A19" s="6" t="inlineStr"/>
      <c r="B19" s="6" t="inlineStr"/>
      <c r="C19" s="6" t="inlineStr">
        <is>
          <t>Total</t>
        </is>
      </c>
      <c r="D19" s="6" t="inlineStr"/>
      <c r="E19" s="6" t="inlineStr"/>
      <c r="F19" s="7">
        <f>SUM(F6:F18)</f>
        <v/>
      </c>
    </row>
    <row r="21">
      <c r="A21" s="8" t="inlineStr">
        <is>
          <t>By category</t>
        </is>
      </c>
    </row>
    <row r="22">
      <c r="A22" s="9" t="inlineStr">
        <is>
          <t>Research and mapping</t>
        </is>
      </c>
      <c r="E22" s="10" t="n">
        <v>2600</v>
      </c>
      <c r="F22" s="11" t="n">
        <v>0.26</v>
      </c>
    </row>
    <row r="23">
      <c r="A23" s="9" t="inlineStr">
        <is>
          <t>Community participation</t>
        </is>
      </c>
      <c r="E23" s="10" t="n">
        <v>1700</v>
      </c>
      <c r="F23" s="11" t="n">
        <v>0.17</v>
      </c>
    </row>
    <row r="24">
      <c r="A24" s="9" t="inlineStr">
        <is>
          <t>Artistic development</t>
        </is>
      </c>
      <c r="E24" s="10" t="n">
        <v>1700</v>
      </c>
      <c r="F24" s="11" t="n">
        <v>0.17</v>
      </c>
    </row>
    <row r="25">
      <c r="A25" s="9" t="inlineStr">
        <is>
          <t>Accessibility</t>
        </is>
      </c>
      <c r="E25" s="10" t="n">
        <v>1100</v>
      </c>
      <c r="F25" s="11" t="n">
        <v>0.11</v>
      </c>
    </row>
    <row r="26">
      <c r="A26" s="9" t="inlineStr">
        <is>
          <t>Translation</t>
        </is>
      </c>
      <c r="E26" s="10" t="n">
        <v>900</v>
      </c>
      <c r="F26" s="11" t="n">
        <v>0.09</v>
      </c>
    </row>
    <row r="27">
      <c r="A27" s="9" t="inlineStr">
        <is>
          <t>Public programming</t>
        </is>
      </c>
      <c r="E27" s="10" t="n">
        <v>800</v>
      </c>
      <c r="F27" s="11" t="n">
        <v>0.08</v>
      </c>
    </row>
    <row r="28">
      <c r="A28" s="9" t="inlineStr">
        <is>
          <t>Technology</t>
        </is>
      </c>
      <c r="E28" s="10" t="n">
        <v>500</v>
      </c>
      <c r="F28" s="11" t="n">
        <v>0.05</v>
      </c>
    </row>
    <row r="29">
      <c r="A29" s="9" t="inlineStr">
        <is>
          <t>Documentation</t>
        </is>
      </c>
      <c r="E29" s="10" t="n">
        <v>500</v>
      </c>
      <c r="F29" s="11" t="n">
        <v>0.05</v>
      </c>
    </row>
    <row r="30">
      <c r="A30" s="9" t="inlineStr">
        <is>
          <t>Contingency</t>
        </is>
      </c>
      <c r="E30" s="10" t="n">
        <v>200</v>
      </c>
      <c r="F30" s="11" t="n">
        <v>0.02</v>
      </c>
    </row>
    <row r="31">
      <c r="A31" s="12" t="inlineStr">
        <is>
          <t>People, participation and artistic production share</t>
        </is>
      </c>
      <c r="F31" s="11" t="n">
        <v>0.88</v>
      </c>
    </row>
    <row r="33" ht="15" customHeight="1">
      <c r="A33" s="13" t="inlineStr">
        <is>
          <t>Notes</t>
        </is>
      </c>
    </row>
    <row r="34" ht="28" customHeight="1">
      <c r="A34" s="14" t="inlineStr">
        <is>
          <t>Infrastructure already exists (static site, open dataset, submissions service) and is not funded retroactively; the grant buys the collective year of work.</t>
        </is>
      </c>
    </row>
    <row r="35" ht="28" customHeight="1">
      <c r="A35" s="14" t="inlineStr">
        <is>
          <t>All collaborator payments are fees for work performed during the project period. No personal expenses, debts, legal costs or fundraising events are included.</t>
        </is>
      </c>
    </row>
    <row r="36" ht="28" customHeight="1">
      <c r="A36" s="14" t="inlineStr">
        <is>
          <t>The award is received as a single transfer to the applicant's account; contributors and advisors are paid from it on delivery of agreed work.</t>
        </is>
      </c>
    </row>
    <row r="37" ht="28" customHeight="1">
      <c r="A37" s="14" t="inlineStr">
        <is>
          <t>Figures are estimates in US dollars; exchange-rate variation is absorbed by the contingency line and, if needed, by the documentation line.</t>
        </is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2026-09-08T17:31:45Z</dcterms:created>
  <dcterms:modified xmlns:dcterms="http://purl.org/dc/terms/" xmlns:xsi="http://www.w3.org/2001/XMLSchema-instance" xsi:type="dcterms:W3CDTF">2026-09-08T17:31:45Z</dcterms:modified>
</cp:coreProperties>
</file>